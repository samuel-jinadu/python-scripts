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B33" i="1"/>
  <c r="A1" i="1"/>
  <c r="C1" i="1"/>
  <c r="D1" i="1"/>
  <c r="E1" i="1"/>
  <c r="F1" i="1"/>
  <c r="A2" i="1"/>
  <c r="B2" i="1"/>
  <c r="C2" i="1"/>
  <c r="D2" i="1"/>
  <c r="E2" i="1"/>
  <c r="F2" i="1"/>
  <c r="A3" i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D5" i="1"/>
  <c r="E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B8" i="1"/>
  <c r="C8" i="1"/>
  <c r="D8" i="1"/>
  <c r="E8" i="1"/>
  <c r="F8" i="1"/>
  <c r="A11" i="1"/>
  <c r="B11" i="1"/>
  <c r="C11" i="1"/>
  <c r="D11" i="1"/>
  <c r="E11" i="1"/>
  <c r="F11" i="1"/>
  <c r="A9" i="1"/>
  <c r="B9" i="1"/>
  <c r="C9" i="1"/>
  <c r="D9" i="1"/>
  <c r="E9" i="1"/>
  <c r="F9" i="1"/>
  <c r="A16" i="1"/>
  <c r="B16" i="1"/>
  <c r="C16" i="1"/>
  <c r="D16" i="1"/>
  <c r="E16" i="1"/>
  <c r="F16" i="1"/>
  <c r="A10" i="1"/>
  <c r="B10" i="1"/>
  <c r="C10" i="1"/>
  <c r="D10" i="1"/>
  <c r="E10" i="1"/>
  <c r="F10" i="1"/>
  <c r="A14" i="1"/>
  <c r="B14" i="1"/>
  <c r="C14" i="1"/>
  <c r="D14" i="1"/>
  <c r="E14" i="1"/>
  <c r="F14" i="1"/>
  <c r="A15" i="1"/>
  <c r="B15" i="1"/>
  <c r="C15" i="1"/>
  <c r="D15" i="1"/>
  <c r="E15" i="1"/>
  <c r="F15" i="1"/>
  <c r="A12" i="1"/>
  <c r="B12" i="1"/>
  <c r="C12" i="1"/>
  <c r="D12" i="1"/>
  <c r="E12" i="1"/>
  <c r="F12" i="1"/>
  <c r="A13" i="1"/>
  <c r="B13" i="1"/>
  <c r="C13" i="1"/>
  <c r="D13" i="1"/>
  <c r="E13" i="1"/>
  <c r="F13" i="1"/>
  <c r="A18" i="1"/>
  <c r="B18" i="1"/>
  <c r="C18" i="1"/>
  <c r="D18" i="1"/>
  <c r="E18" i="1"/>
  <c r="F18" i="1"/>
  <c r="A20" i="1"/>
  <c r="B20" i="1"/>
  <c r="C20" i="1"/>
  <c r="D20" i="1"/>
  <c r="E20" i="1"/>
  <c r="F20" i="1"/>
  <c r="A19" i="1"/>
  <c r="B19" i="1"/>
  <c r="C19" i="1"/>
  <c r="D19" i="1"/>
  <c r="E19" i="1"/>
  <c r="F19" i="1"/>
  <c r="A17" i="1"/>
  <c r="B17" i="1"/>
  <c r="C17" i="1"/>
  <c r="D17" i="1"/>
  <c r="E17" i="1"/>
  <c r="F17" i="1"/>
  <c r="A21" i="1"/>
  <c r="B21" i="1"/>
  <c r="C21" i="1"/>
  <c r="D21" i="1"/>
  <c r="E21" i="1"/>
  <c r="F21" i="1"/>
  <c r="A26" i="1"/>
  <c r="B26" i="1"/>
  <c r="C26" i="1"/>
  <c r="D26" i="1"/>
  <c r="E26" i="1"/>
  <c r="F26" i="1"/>
  <c r="A22" i="1"/>
  <c r="B22" i="1"/>
  <c r="C22" i="1"/>
  <c r="D22" i="1"/>
  <c r="E22" i="1"/>
  <c r="F22" i="1"/>
  <c r="A25" i="1"/>
  <c r="B25" i="1"/>
  <c r="C25" i="1"/>
  <c r="D25" i="1"/>
  <c r="E25" i="1"/>
  <c r="F25" i="1"/>
  <c r="A23" i="1"/>
  <c r="B23" i="1"/>
  <c r="C23" i="1"/>
  <c r="D23" i="1"/>
  <c r="E23" i="1"/>
  <c r="F23" i="1"/>
  <c r="A24" i="1"/>
  <c r="B24" i="1"/>
  <c r="C24" i="1"/>
  <c r="D24" i="1"/>
  <c r="E24" i="1"/>
  <c r="F24" i="1"/>
  <c r="A29" i="1"/>
  <c r="B29" i="1"/>
  <c r="C29" i="1"/>
  <c r="D29" i="1"/>
  <c r="E29" i="1"/>
  <c r="F29" i="1"/>
  <c r="A32" i="1"/>
  <c r="B32" i="1"/>
  <c r="C32" i="1"/>
  <c r="D32" i="1"/>
  <c r="E32" i="1"/>
  <c r="F32" i="1"/>
  <c r="A33" i="1"/>
  <c r="C33" i="1"/>
  <c r="D33" i="1"/>
  <c r="E33" i="1"/>
  <c r="F33" i="1"/>
  <c r="A28" i="1"/>
  <c r="B28" i="1"/>
  <c r="C28" i="1"/>
  <c r="D28" i="1"/>
  <c r="E28" i="1"/>
  <c r="F28" i="1"/>
  <c r="A30" i="1"/>
  <c r="B30" i="1"/>
  <c r="C30" i="1"/>
  <c r="D30" i="1"/>
  <c r="E30" i="1"/>
  <c r="F30" i="1"/>
  <c r="A34" i="1"/>
  <c r="B34" i="1"/>
  <c r="C34" i="1"/>
  <c r="D34" i="1"/>
  <c r="E34" i="1"/>
  <c r="F34" i="1"/>
  <c r="A39" i="1"/>
  <c r="B39" i="1"/>
  <c r="C39" i="1"/>
  <c r="D39" i="1"/>
  <c r="E39" i="1"/>
  <c r="F39" i="1"/>
  <c r="A27" i="1"/>
  <c r="B27" i="1"/>
  <c r="C27" i="1"/>
  <c r="D27" i="1"/>
  <c r="E27" i="1"/>
  <c r="F27" i="1"/>
  <c r="A40" i="1"/>
  <c r="B40" i="1"/>
  <c r="C40" i="1"/>
  <c r="D40" i="1"/>
  <c r="E40" i="1"/>
  <c r="F40" i="1"/>
  <c r="A37" i="1"/>
  <c r="B37" i="1"/>
  <c r="C37" i="1"/>
  <c r="D37" i="1"/>
  <c r="E37" i="1"/>
  <c r="F37" i="1"/>
  <c r="A36" i="1"/>
  <c r="B36" i="1"/>
  <c r="C36" i="1"/>
  <c r="D36" i="1"/>
  <c r="E36" i="1"/>
  <c r="F36" i="1"/>
  <c r="A35" i="1"/>
  <c r="B35" i="1"/>
  <c r="C35" i="1"/>
  <c r="D35" i="1"/>
  <c r="E35" i="1"/>
  <c r="F35" i="1"/>
  <c r="A38" i="1"/>
  <c r="B38" i="1"/>
  <c r="C38" i="1"/>
  <c r="D38" i="1"/>
  <c r="E38" i="1"/>
  <c r="F38" i="1"/>
  <c r="A31" i="1"/>
  <c r="B31" i="1"/>
  <c r="C31" i="1"/>
  <c r="D31" i="1"/>
  <c r="E31" i="1"/>
  <c r="F31" i="1"/>
  <c r="A41" i="1"/>
  <c r="B41" i="1"/>
  <c r="C41" i="1"/>
  <c r="D41" i="1"/>
  <c r="E41" i="1"/>
  <c r="F41" i="1"/>
  <c r="A42" i="1"/>
  <c r="B42" i="1"/>
  <c r="C42" i="1"/>
  <c r="D42" i="1"/>
  <c r="E42" i="1"/>
  <c r="F42" i="1"/>
  <c r="A45" i="1"/>
  <c r="B45" i="1"/>
  <c r="C45" i="1"/>
  <c r="D45" i="1"/>
  <c r="E45" i="1"/>
  <c r="F45" i="1"/>
  <c r="A44" i="1"/>
  <c r="B44" i="1"/>
  <c r="C44" i="1"/>
  <c r="D44" i="1"/>
  <c r="E44" i="1"/>
  <c r="F44" i="1"/>
  <c r="A43" i="1"/>
  <c r="B43" i="1"/>
  <c r="C43" i="1"/>
  <c r="D43" i="1"/>
  <c r="E43" i="1"/>
  <c r="F43" i="1"/>
  <c r="A46" i="1"/>
  <c r="B46" i="1"/>
  <c r="C46" i="1"/>
  <c r="D46" i="1"/>
  <c r="E46" i="1"/>
  <c r="F46" i="1"/>
  <c r="A47" i="1"/>
  <c r="B47" i="1"/>
  <c r="C47" i="1"/>
  <c r="D47" i="1"/>
  <c r="E47" i="1"/>
  <c r="F47" i="1"/>
  <c r="A48" i="1"/>
  <c r="B48" i="1"/>
  <c r="C48" i="1"/>
  <c r="D48" i="1"/>
  <c r="E48" i="1"/>
  <c r="F48" i="1"/>
  <c r="A49" i="1"/>
  <c r="B49" i="1"/>
  <c r="C49" i="1"/>
  <c r="D49" i="1"/>
  <c r="E49" i="1"/>
  <c r="F4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B1" sqref="B1"/>
    </sheetView>
  </sheetViews>
  <sheetFormatPr defaultRowHeight="15" x14ac:dyDescent="0.25"/>
  <cols>
    <col min="1" max="1" width="5.28515625" bestFit="1" customWidth="1"/>
    <col min="2" max="2" width="26.28515625" bestFit="1" customWidth="1"/>
    <col min="3" max="3" width="11" bestFit="1" customWidth="1"/>
    <col min="4" max="4" width="8.5703125" bestFit="1" customWidth="1"/>
    <col min="5" max="5" width="11.5703125" bestFit="1" customWidth="1"/>
    <col min="6" max="6" width="4" bestFit="1" customWidth="1"/>
  </cols>
  <sheetData>
    <row r="1" spans="1:6" x14ac:dyDescent="0.25">
      <c r="A1" t="str">
        <f>"Rank"</f>
        <v>Rank</v>
      </c>
      <c r="B1" t="str">
        <f>"Setting"</f>
        <v>Setting</v>
      </c>
      <c r="C1" t="str">
        <f>"Overall (M)"</f>
        <v>Overall (M)</v>
      </c>
      <c r="D1" t="str">
        <f>"Men (M)"</f>
        <v>Men (M)</v>
      </c>
      <c r="E1" t="str">
        <f>"Women (M)"</f>
        <v>Women (M)</v>
      </c>
      <c r="F1" t="str">
        <f>"Sig"</f>
        <v>Sig</v>
      </c>
    </row>
    <row r="2" spans="1:6" x14ac:dyDescent="0.25">
      <c r="A2" t="str">
        <f>"1"</f>
        <v>1</v>
      </c>
      <c r="B2" t="str">
        <f>"Dating App/Site"</f>
        <v>Dating App/Site</v>
      </c>
      <c r="C2" t="str">
        <f>"4.10"</f>
        <v>4.10</v>
      </c>
      <c r="D2" t="str">
        <f>"4.13"</f>
        <v>4.13</v>
      </c>
      <c r="E2" t="str">
        <f>"4.06"</f>
        <v>4.06</v>
      </c>
      <c r="F2" t="str">
        <f>""</f>
        <v/>
      </c>
    </row>
    <row r="3" spans="1:6" x14ac:dyDescent="0.25">
      <c r="A3" t="str">
        <f>"2"</f>
        <v>2</v>
      </c>
      <c r="B3" t="str">
        <f>"Party"</f>
        <v>Party</v>
      </c>
      <c r="C3" t="str">
        <f>"4.04"</f>
        <v>4.04</v>
      </c>
      <c r="D3" t="str">
        <f>"4.04"</f>
        <v>4.04</v>
      </c>
      <c r="E3" t="str">
        <f>"4.06"</f>
        <v>4.06</v>
      </c>
      <c r="F3" t="str">
        <f>""</f>
        <v/>
      </c>
    </row>
    <row r="4" spans="1:6" x14ac:dyDescent="0.25">
      <c r="A4" t="str">
        <f>"3"</f>
        <v>3</v>
      </c>
      <c r="B4" t="str">
        <f>"Sex Party"</f>
        <v>Sex Party</v>
      </c>
      <c r="C4" t="str">
        <f>"4.01"</f>
        <v>4.01</v>
      </c>
      <c r="D4" t="str">
        <f>"3.95"</f>
        <v>3.95</v>
      </c>
      <c r="E4" t="str">
        <f>"4.05"</f>
        <v>4.05</v>
      </c>
      <c r="F4" t="str">
        <f>""</f>
        <v/>
      </c>
    </row>
    <row r="5" spans="1:6" x14ac:dyDescent="0.25">
      <c r="A5" t="str">
        <f>"4"</f>
        <v>4</v>
      </c>
      <c r="B5" t="str">
        <f>"Nightclub"</f>
        <v>Nightclub</v>
      </c>
      <c r="C5" t="str">
        <f>"3.89"</f>
        <v>3.89</v>
      </c>
      <c r="D5" t="str">
        <f>"3.95"</f>
        <v>3.95</v>
      </c>
      <c r="E5" t="str">
        <f>"3.84"</f>
        <v>3.84</v>
      </c>
      <c r="F5" t="str">
        <f>""</f>
        <v/>
      </c>
    </row>
    <row r="6" spans="1:6" x14ac:dyDescent="0.25">
      <c r="A6" t="str">
        <f>"5"</f>
        <v>5</v>
      </c>
      <c r="B6" t="str">
        <f>"Bar"</f>
        <v>Bar</v>
      </c>
      <c r="C6" t="str">
        <f>"3.83"</f>
        <v>3.83</v>
      </c>
      <c r="D6" t="str">
        <f>"3.82"</f>
        <v>3.82</v>
      </c>
      <c r="E6" t="str">
        <f>"3.84"</f>
        <v>3.84</v>
      </c>
      <c r="F6" t="str">
        <f>""</f>
        <v/>
      </c>
    </row>
    <row r="7" spans="1:6" x14ac:dyDescent="0.25">
      <c r="A7" t="str">
        <f>"6"</f>
        <v>6</v>
      </c>
      <c r="B7" t="str">
        <f>"Your Residence"</f>
        <v>Your Residence</v>
      </c>
      <c r="C7" t="str">
        <f>"3.76"</f>
        <v>3.76</v>
      </c>
      <c r="D7" t="str">
        <f>"3.84"</f>
        <v>3.84</v>
      </c>
      <c r="E7" t="str">
        <f>"3.72"</f>
        <v>3.72</v>
      </c>
      <c r="F7" t="str">
        <f>""</f>
        <v/>
      </c>
    </row>
    <row r="8" spans="1:6" x14ac:dyDescent="0.25">
      <c r="A8" t="str">
        <f>"7"</f>
        <v>7</v>
      </c>
      <c r="B8" t="str">
        <f>"Festival"</f>
        <v>Festival</v>
      </c>
      <c r="C8" t="str">
        <f>"3.73"</f>
        <v>3.73</v>
      </c>
      <c r="D8" t="str">
        <f>"3.78"</f>
        <v>3.78</v>
      </c>
      <c r="E8" t="str">
        <f>"3.68"</f>
        <v>3.68</v>
      </c>
      <c r="F8" t="str">
        <f>""</f>
        <v/>
      </c>
    </row>
    <row r="9" spans="1:6" x14ac:dyDescent="0.25">
      <c r="A9" t="str">
        <f>"9"</f>
        <v>9</v>
      </c>
      <c r="B9" t="str">
        <f>"Social Club/Hobby Event"</f>
        <v>Social Club/Hobby Event</v>
      </c>
      <c r="C9" t="str">
        <f>"3.64"</f>
        <v>3.64</v>
      </c>
      <c r="D9" t="str">
        <f>"3.78"</f>
        <v>3.78</v>
      </c>
      <c r="E9" t="str">
        <f>"3.49"</f>
        <v>3.49</v>
      </c>
      <c r="F9" t="str">
        <f>""</f>
        <v/>
      </c>
    </row>
    <row r="10" spans="1:6" x14ac:dyDescent="0.25">
      <c r="A10" t="str">
        <f>"11"</f>
        <v>11</v>
      </c>
      <c r="B10" t="str">
        <f>"Concert"</f>
        <v>Concert</v>
      </c>
      <c r="C10" t="str">
        <f>"3.51"</f>
        <v>3.51</v>
      </c>
      <c r="D10" t="str">
        <f>"3.55"</f>
        <v>3.55</v>
      </c>
      <c r="E10" t="str">
        <f>"3.49"</f>
        <v>3.49</v>
      </c>
      <c r="F10" t="str">
        <f>""</f>
        <v/>
      </c>
    </row>
    <row r="11" spans="1:6" x14ac:dyDescent="0.25">
      <c r="A11" t="str">
        <f>"8"</f>
        <v>8</v>
      </c>
      <c r="B11" t="str">
        <f>"Beach"</f>
        <v>Beach</v>
      </c>
      <c r="C11" t="str">
        <f>"3.65"</f>
        <v>3.65</v>
      </c>
      <c r="D11" t="str">
        <f>"3.96"</f>
        <v>3.96</v>
      </c>
      <c r="E11" t="str">
        <f>"3.35"</f>
        <v>3.35</v>
      </c>
      <c r="F11" t="str">
        <f>"***"</f>
        <v>***</v>
      </c>
    </row>
    <row r="12" spans="1:6" x14ac:dyDescent="0.25">
      <c r="A12" t="str">
        <f>"14"</f>
        <v>14</v>
      </c>
      <c r="B12" t="str">
        <f>"Coffee Shop"</f>
        <v>Coffee Shop</v>
      </c>
      <c r="C12" t="str">
        <f>"3.43"</f>
        <v>3.43</v>
      </c>
      <c r="D12" t="str">
        <f>"3.55"</f>
        <v>3.55</v>
      </c>
      <c r="E12" t="str">
        <f>"3.31"</f>
        <v>3.31</v>
      </c>
      <c r="F12" t="str">
        <f>""</f>
        <v/>
      </c>
    </row>
    <row r="13" spans="1:6" x14ac:dyDescent="0.25">
      <c r="A13" t="str">
        <f>"15"</f>
        <v>15</v>
      </c>
      <c r="B13" t="str">
        <f>"School/Campus"</f>
        <v>School/Campus</v>
      </c>
      <c r="C13" t="str">
        <f>"3.43"</f>
        <v>3.43</v>
      </c>
      <c r="D13" t="str">
        <f>"3.61"</f>
        <v>3.61</v>
      </c>
      <c r="E13" t="str">
        <f>"3.27"</f>
        <v>3.27</v>
      </c>
      <c r="F13" t="str">
        <f>""</f>
        <v/>
      </c>
    </row>
    <row r="14" spans="1:6" x14ac:dyDescent="0.25">
      <c r="A14" t="str">
        <f>"12"</f>
        <v>12</v>
      </c>
      <c r="B14" t="str">
        <f>"Vacation Tourist Attraction"</f>
        <v>Vacation Tourist Attraction</v>
      </c>
      <c r="C14" t="str">
        <f>"3.46"</f>
        <v>3.46</v>
      </c>
      <c r="D14" t="str">
        <f>"3.69"</f>
        <v>3.69</v>
      </c>
      <c r="E14" t="str">
        <f>"3.26"</f>
        <v>3.26</v>
      </c>
      <c r="F14" t="str">
        <f>"*"</f>
        <v>*</v>
      </c>
    </row>
    <row r="15" spans="1:6" x14ac:dyDescent="0.25">
      <c r="A15" t="str">
        <f>"13"</f>
        <v>13</v>
      </c>
      <c r="B15" t="str">
        <f>"Friend’s Residence"</f>
        <v>Friend’s Residence</v>
      </c>
      <c r="C15" t="str">
        <f>"3.44"</f>
        <v>3.44</v>
      </c>
      <c r="D15" t="str">
        <f>"3.63"</f>
        <v>3.63</v>
      </c>
      <c r="E15" t="str">
        <f>"3.26"</f>
        <v>3.26</v>
      </c>
      <c r="F15" t="str">
        <f>"*"</f>
        <v>*</v>
      </c>
    </row>
    <row r="16" spans="1:6" x14ac:dyDescent="0.25">
      <c r="A16" t="str">
        <f>"10"</f>
        <v>10</v>
      </c>
      <c r="B16" t="str">
        <f>"Social Media"</f>
        <v>Social Media</v>
      </c>
      <c r="C16" t="str">
        <f>"3.53"</f>
        <v>3.53</v>
      </c>
      <c r="D16" t="str">
        <f>"3.83"</f>
        <v>3.83</v>
      </c>
      <c r="E16" t="str">
        <f>"3.24"</f>
        <v>3.24</v>
      </c>
      <c r="F16" t="str">
        <f>"**"</f>
        <v>**</v>
      </c>
    </row>
    <row r="17" spans="1:6" x14ac:dyDescent="0.25">
      <c r="A17" t="str">
        <f>"19"</f>
        <v>19</v>
      </c>
      <c r="B17" t="str">
        <f>"Sporting Event"</f>
        <v>Sporting Event</v>
      </c>
      <c r="C17" t="str">
        <f>"3.31"</f>
        <v>3.31</v>
      </c>
      <c r="D17" t="str">
        <f>"3.42"</f>
        <v>3.42</v>
      </c>
      <c r="E17" t="str">
        <f>"3.23"</f>
        <v>3.23</v>
      </c>
      <c r="F17" t="str">
        <f>""</f>
        <v/>
      </c>
    </row>
    <row r="18" spans="1:6" x14ac:dyDescent="0.25">
      <c r="A18" t="str">
        <f>"16"</f>
        <v>16</v>
      </c>
      <c r="B18" t="str">
        <f>"Wedding"</f>
        <v>Wedding</v>
      </c>
      <c r="C18" t="str">
        <f>"3.39"</f>
        <v>3.39</v>
      </c>
      <c r="D18" t="str">
        <f>"3.61"</f>
        <v>3.61</v>
      </c>
      <c r="E18" t="str">
        <f>"3.20"</f>
        <v>3.20</v>
      </c>
      <c r="F18" t="str">
        <f>"*"</f>
        <v>*</v>
      </c>
    </row>
    <row r="19" spans="1:6" x14ac:dyDescent="0.25">
      <c r="A19" t="str">
        <f>"18"</f>
        <v>18</v>
      </c>
      <c r="B19" t="str">
        <f>"Car"</f>
        <v>Car</v>
      </c>
      <c r="C19" t="str">
        <f>"3.33"</f>
        <v>3.33</v>
      </c>
      <c r="D19" t="str">
        <f>"3.53"</f>
        <v>3.53</v>
      </c>
      <c r="E19" t="str">
        <f>"3.16"</f>
        <v>3.16</v>
      </c>
      <c r="F19" t="str">
        <f>""</f>
        <v/>
      </c>
    </row>
    <row r="20" spans="1:6" x14ac:dyDescent="0.25">
      <c r="A20" t="str">
        <f>"17"</f>
        <v>17</v>
      </c>
      <c r="B20" t="str">
        <f>"Restaurant"</f>
        <v>Restaurant</v>
      </c>
      <c r="C20" t="str">
        <f>"3.35"</f>
        <v>3.35</v>
      </c>
      <c r="D20" t="str">
        <f>"3.58"</f>
        <v>3.58</v>
      </c>
      <c r="E20" t="str">
        <f>"3.13"</f>
        <v>3.13</v>
      </c>
      <c r="F20" t="str">
        <f>"*"</f>
        <v>*</v>
      </c>
    </row>
    <row r="21" spans="1:6" x14ac:dyDescent="0.25">
      <c r="A21" t="str">
        <f>"20"</f>
        <v>20</v>
      </c>
      <c r="B21" t="str">
        <f>"Park"</f>
        <v>Park</v>
      </c>
      <c r="C21" t="str">
        <f>"3.25"</f>
        <v>3.25</v>
      </c>
      <c r="D21" t="str">
        <f>"3.49"</f>
        <v>3.49</v>
      </c>
      <c r="E21" t="str">
        <f>"3.04"</f>
        <v>3.04</v>
      </c>
      <c r="F21" t="str">
        <f>"*"</f>
        <v>*</v>
      </c>
    </row>
    <row r="22" spans="1:6" x14ac:dyDescent="0.25">
      <c r="A22" t="str">
        <f>"22"</f>
        <v>22</v>
      </c>
      <c r="B22" t="str">
        <f>"Movie Theater"</f>
        <v>Movie Theater</v>
      </c>
      <c r="C22" t="str">
        <f>"3.23"</f>
        <v>3.23</v>
      </c>
      <c r="D22" t="str">
        <f>"3.47"</f>
        <v>3.47</v>
      </c>
      <c r="E22" t="str">
        <f>"3.02"</f>
        <v>3.02</v>
      </c>
      <c r="F22" t="str">
        <f>"*"</f>
        <v>*</v>
      </c>
    </row>
    <row r="23" spans="1:6" x14ac:dyDescent="0.25">
      <c r="A23" t="str">
        <f>"24"</f>
        <v>24</v>
      </c>
      <c r="B23" t="str">
        <f>"Shopping Mall"</f>
        <v>Shopping Mall</v>
      </c>
      <c r="C23" t="str">
        <f>"3.17"</f>
        <v>3.17</v>
      </c>
      <c r="D23" t="str">
        <f>"3.33"</f>
        <v>3.33</v>
      </c>
      <c r="E23" t="str">
        <f>"3.01"</f>
        <v>3.01</v>
      </c>
      <c r="F23" t="str">
        <f>""</f>
        <v/>
      </c>
    </row>
    <row r="24" spans="1:6" x14ac:dyDescent="0.25">
      <c r="A24" t="str">
        <f>"25"</f>
        <v>25</v>
      </c>
      <c r="B24" t="str">
        <f>"Museum/Gallery"</f>
        <v>Museum/Gallery</v>
      </c>
      <c r="C24" t="str">
        <f>"3.07"</f>
        <v>3.07</v>
      </c>
      <c r="D24" t="str">
        <f>"3.15"</f>
        <v>3.15</v>
      </c>
      <c r="E24" t="str">
        <f>"2.98"</f>
        <v>2.98</v>
      </c>
      <c r="F24" t="str">
        <f>""</f>
        <v/>
      </c>
    </row>
    <row r="25" spans="1:6" x14ac:dyDescent="0.25">
      <c r="A25" t="str">
        <f>"23"</f>
        <v>23</v>
      </c>
      <c r="B25" t="str">
        <f>"Online Chatroom"</f>
        <v>Online Chatroom</v>
      </c>
      <c r="C25" t="str">
        <f>"3.17"</f>
        <v>3.17</v>
      </c>
      <c r="D25" t="str">
        <f>"3.42"</f>
        <v>3.42</v>
      </c>
      <c r="E25" t="str">
        <f>"2.93"</f>
        <v>2.93</v>
      </c>
      <c r="F25" t="str">
        <f>"*"</f>
        <v>*</v>
      </c>
    </row>
    <row r="26" spans="1:6" x14ac:dyDescent="0.25">
      <c r="A26" t="str">
        <f>"21"</f>
        <v>21</v>
      </c>
      <c r="B26" t="str">
        <f>"Community Event"</f>
        <v>Community Event</v>
      </c>
      <c r="C26" t="str">
        <f>"3.23"</f>
        <v>3.23</v>
      </c>
      <c r="D26" t="str">
        <f>"3.59"</f>
        <v>3.59</v>
      </c>
      <c r="E26" t="str">
        <f>"2.89"</f>
        <v>2.89</v>
      </c>
      <c r="F26" t="str">
        <f>"***"</f>
        <v>***</v>
      </c>
    </row>
    <row r="27" spans="1:6" x14ac:dyDescent="0.25">
      <c r="A27" t="str">
        <f>"33"</f>
        <v>33</v>
      </c>
      <c r="B27" t="str">
        <f>"Elevator"</f>
        <v>Elevator</v>
      </c>
      <c r="C27" t="str">
        <f>"2.93"</f>
        <v>2.93</v>
      </c>
      <c r="D27" t="str">
        <f>"3.14"</f>
        <v>3.14</v>
      </c>
      <c r="E27" t="str">
        <f>"2.76"</f>
        <v>2.76</v>
      </c>
      <c r="F27" t="str">
        <f>""</f>
        <v/>
      </c>
    </row>
    <row r="28" spans="1:6" x14ac:dyDescent="0.25">
      <c r="A28" t="str">
        <f>"29"</f>
        <v>29</v>
      </c>
      <c r="B28" t="str">
        <f>"Parking Lot"</f>
        <v>Parking Lot</v>
      </c>
      <c r="C28" t="str">
        <f>"2.98"</f>
        <v>2.98</v>
      </c>
      <c r="D28" t="str">
        <f>"3.24"</f>
        <v>3.24</v>
      </c>
      <c r="E28" t="str">
        <f>"2.74"</f>
        <v>2.74</v>
      </c>
      <c r="F28" t="str">
        <f>"*"</f>
        <v>*</v>
      </c>
    </row>
    <row r="29" spans="1:6" x14ac:dyDescent="0.25">
      <c r="A29" t="str">
        <f>"26"</f>
        <v>26</v>
      </c>
      <c r="B29" t="str">
        <f>"Online Multiplayer Game"</f>
        <v>Online Multiplayer Game</v>
      </c>
      <c r="C29" t="str">
        <f>"3.04"</f>
        <v>3.04</v>
      </c>
      <c r="D29" t="str">
        <f>"3.39"</f>
        <v>3.39</v>
      </c>
      <c r="E29" t="str">
        <f>"2.70"</f>
        <v>2.70</v>
      </c>
      <c r="F29" t="str">
        <f>"***"</f>
        <v>***</v>
      </c>
    </row>
    <row r="30" spans="1:6" x14ac:dyDescent="0.25">
      <c r="A30" t="str">
        <f>"30"</f>
        <v>30</v>
      </c>
      <c r="B30" t="str">
        <f>"Grocery Store"</f>
        <v>Grocery Store</v>
      </c>
      <c r="C30" t="str">
        <f>"2.96"</f>
        <v>2.96</v>
      </c>
      <c r="D30" t="str">
        <f>"3.24"</f>
        <v>3.24</v>
      </c>
      <c r="E30" t="str">
        <f>"2.70"</f>
        <v>2.70</v>
      </c>
      <c r="F30" t="str">
        <f>"**"</f>
        <v>**</v>
      </c>
    </row>
    <row r="31" spans="1:6" x14ac:dyDescent="0.25">
      <c r="A31" t="str">
        <f>"39"</f>
        <v>39</v>
      </c>
      <c r="B31" t="str">
        <f>"Library"</f>
        <v>Library</v>
      </c>
      <c r="C31" t="str">
        <f>"2.83"</f>
        <v>2.83</v>
      </c>
      <c r="D31" t="str">
        <f>"2.96"</f>
        <v>2.96</v>
      </c>
      <c r="E31" t="str">
        <f>"2.70"</f>
        <v>2.70</v>
      </c>
      <c r="F31" t="str">
        <f>""</f>
        <v/>
      </c>
    </row>
    <row r="32" spans="1:6" x14ac:dyDescent="0.25">
      <c r="A32" t="str">
        <f>"27"</f>
        <v>27</v>
      </c>
      <c r="B32" t="str">
        <f>"Gym"</f>
        <v>Gym</v>
      </c>
      <c r="C32" t="str">
        <f>"3.00"</f>
        <v>3.00</v>
      </c>
      <c r="D32" t="str">
        <f>"3.35"</f>
        <v>3.35</v>
      </c>
      <c r="E32" t="str">
        <f>"2.68"</f>
        <v>2.68</v>
      </c>
      <c r="F32" t="str">
        <f>"***"</f>
        <v>***</v>
      </c>
    </row>
    <row r="33" spans="1:6" x14ac:dyDescent="0.25">
      <c r="A33" t="str">
        <f>"28"</f>
        <v>28</v>
      </c>
      <c r="B33" t="str">
        <f>"Long-Term Public Transport  (Train, Greyhound)"</f>
        <v>Long-Term Public Transport  (Train, Greyhound)</v>
      </c>
      <c r="C33" t="str">
        <f>"2.99"</f>
        <v>2.99</v>
      </c>
      <c r="D33" t="str">
        <f>"3.33"</f>
        <v>3.33</v>
      </c>
      <c r="E33" t="str">
        <f>"2.68"</f>
        <v>2.68</v>
      </c>
      <c r="F33" t="str">
        <f>"***"</f>
        <v>***</v>
      </c>
    </row>
    <row r="34" spans="1:6" x14ac:dyDescent="0.25">
      <c r="A34" t="str">
        <f>"31"</f>
        <v>31</v>
      </c>
      <c r="B34" t="str">
        <f>"Retail Store"</f>
        <v>Retail Store</v>
      </c>
      <c r="C34" t="str">
        <f>"2.94"</f>
        <v>2.94</v>
      </c>
      <c r="D34" t="str">
        <f>"3.24"</f>
        <v>3.24</v>
      </c>
      <c r="E34" t="str">
        <f>"2.68"</f>
        <v>2.68</v>
      </c>
      <c r="F34" t="str">
        <f>"*"</f>
        <v>*</v>
      </c>
    </row>
    <row r="35" spans="1:6" x14ac:dyDescent="0.25">
      <c r="A35" t="str">
        <f>"37"</f>
        <v>37</v>
      </c>
      <c r="B35" t="str">
        <f>"Classroom"</f>
        <v>Classroom</v>
      </c>
      <c r="C35" t="str">
        <f>"2.88"</f>
        <v>2.88</v>
      </c>
      <c r="D35" t="str">
        <f>"3.12"</f>
        <v>3.12</v>
      </c>
      <c r="E35" t="str">
        <f>"2.68"</f>
        <v>2.68</v>
      </c>
      <c r="F35" t="str">
        <f>"*"</f>
        <v>*</v>
      </c>
    </row>
    <row r="36" spans="1:6" x14ac:dyDescent="0.25">
      <c r="A36" t="str">
        <f>"36"</f>
        <v>36</v>
      </c>
      <c r="B36" t="str">
        <f>"Laundromat"</f>
        <v>Laundromat</v>
      </c>
      <c r="C36" t="str">
        <f>"2.89"</f>
        <v>2.89</v>
      </c>
      <c r="D36" t="str">
        <f>"3.14"</f>
        <v>3.14</v>
      </c>
      <c r="E36" t="str">
        <f>"2.67"</f>
        <v>2.67</v>
      </c>
      <c r="F36" t="str">
        <f>"*"</f>
        <v>*</v>
      </c>
    </row>
    <row r="37" spans="1:6" x14ac:dyDescent="0.25">
      <c r="A37" t="str">
        <f>"35"</f>
        <v>35</v>
      </c>
      <c r="B37" t="str">
        <f>"Short-Term Public Transport"</f>
        <v>Short-Term Public Transport</v>
      </c>
      <c r="C37" t="str">
        <f>"2.92"</f>
        <v>2.92</v>
      </c>
      <c r="D37" t="str">
        <f>"3.23"</f>
        <v>3.23</v>
      </c>
      <c r="E37" t="str">
        <f>"2.64"</f>
        <v>2.64</v>
      </c>
      <c r="F37" t="str">
        <f>"**"</f>
        <v>**</v>
      </c>
    </row>
    <row r="38" spans="1:6" x14ac:dyDescent="0.25">
      <c r="A38" t="str">
        <f>"38"</f>
        <v>38</v>
      </c>
      <c r="B38" t="str">
        <f>"Airplane"</f>
        <v>Airplane</v>
      </c>
      <c r="C38" t="str">
        <f>"2.83"</f>
        <v>2.83</v>
      </c>
      <c r="D38" t="str">
        <f>"3.06"</f>
        <v>3.06</v>
      </c>
      <c r="E38" t="str">
        <f>"2.63"</f>
        <v>2.63</v>
      </c>
      <c r="F38" t="str">
        <f>"*"</f>
        <v>*</v>
      </c>
    </row>
    <row r="39" spans="1:6" x14ac:dyDescent="0.25">
      <c r="A39" t="str">
        <f>"32"</f>
        <v>32</v>
      </c>
      <c r="B39" t="str">
        <f>"Street/Sidewalk"</f>
        <v>Street/Sidewalk</v>
      </c>
      <c r="C39" t="str">
        <f>"2.94"</f>
        <v>2.94</v>
      </c>
      <c r="D39" t="str">
        <f>"3.30"</f>
        <v>3.30</v>
      </c>
      <c r="E39" t="str">
        <f>"2.62"</f>
        <v>2.62</v>
      </c>
      <c r="F39" t="str">
        <f>"***"</f>
        <v>***</v>
      </c>
    </row>
    <row r="40" spans="1:6" x14ac:dyDescent="0.25">
      <c r="A40" t="str">
        <f>"34"</f>
        <v>34</v>
      </c>
      <c r="B40" t="str">
        <f>"Travel Station"</f>
        <v>Travel Station</v>
      </c>
      <c r="C40" t="str">
        <f>"2.93"</f>
        <v>2.93</v>
      </c>
      <c r="D40" t="str">
        <f>"3.28"</f>
        <v>3.28</v>
      </c>
      <c r="E40" t="str">
        <f>"2.61"</f>
        <v>2.61</v>
      </c>
      <c r="F40" t="str">
        <f>"***"</f>
        <v>***</v>
      </c>
    </row>
    <row r="41" spans="1:6" x14ac:dyDescent="0.25">
      <c r="A41" t="str">
        <f>"40"</f>
        <v>40</v>
      </c>
      <c r="B41" t="str">
        <f>"Bathroom (In or Near)"</f>
        <v>Bathroom (In or Near)</v>
      </c>
      <c r="C41" t="str">
        <f>"2.79"</f>
        <v>2.79</v>
      </c>
      <c r="D41" t="str">
        <f>"3.04"</f>
        <v>3.04</v>
      </c>
      <c r="E41" t="str">
        <f>"2.57"</f>
        <v>2.57</v>
      </c>
      <c r="F41" t="str">
        <f>"*"</f>
        <v>*</v>
      </c>
    </row>
    <row r="42" spans="1:6" x14ac:dyDescent="0.25">
      <c r="A42" t="str">
        <f>"41"</f>
        <v>41</v>
      </c>
      <c r="B42" t="str">
        <f>"Zoom"</f>
        <v>Zoom</v>
      </c>
      <c r="C42" t="str">
        <f>"2.72"</f>
        <v>2.72</v>
      </c>
      <c r="D42" t="str">
        <f>"2.94"</f>
        <v>2.94</v>
      </c>
      <c r="E42" t="str">
        <f>"2.51"</f>
        <v>2.51</v>
      </c>
      <c r="F42" t="str">
        <f>"*"</f>
        <v>*</v>
      </c>
    </row>
    <row r="43" spans="1:6" x14ac:dyDescent="0.25">
      <c r="A43" t="str">
        <f>"44"</f>
        <v>44</v>
      </c>
      <c r="B43" t="str">
        <f>"Pharmacy"</f>
        <v>Pharmacy</v>
      </c>
      <c r="C43" t="str">
        <f>"2.64"</f>
        <v>2.64</v>
      </c>
      <c r="D43" t="str">
        <f>"2.95"</f>
        <v>2.95</v>
      </c>
      <c r="E43" t="str">
        <f>"2.37"</f>
        <v>2.37</v>
      </c>
      <c r="F43" t="str">
        <f>"**"</f>
        <v>**</v>
      </c>
    </row>
    <row r="44" spans="1:6" x14ac:dyDescent="0.25">
      <c r="A44" t="str">
        <f>"43"</f>
        <v>43</v>
      </c>
      <c r="B44" t="str">
        <f>"Family Party/Reunion"</f>
        <v>Family Party/Reunion</v>
      </c>
      <c r="C44" t="str">
        <f>"2.70"</f>
        <v>2.70</v>
      </c>
      <c r="D44" t="str">
        <f>"3.08"</f>
        <v>3.08</v>
      </c>
      <c r="E44" t="str">
        <f>"2.36"</f>
        <v>2.36</v>
      </c>
      <c r="F44" t="str">
        <f>"**"</f>
        <v>**</v>
      </c>
    </row>
    <row r="45" spans="1:6" x14ac:dyDescent="0.25">
      <c r="A45" t="str">
        <f>"42"</f>
        <v>42</v>
      </c>
      <c r="B45" t="str">
        <f>"Workplace"</f>
        <v>Workplace</v>
      </c>
      <c r="C45" t="str">
        <f>"2.72"</f>
        <v>2.72</v>
      </c>
      <c r="D45" t="str">
        <f>"3.13"</f>
        <v>3.13</v>
      </c>
      <c r="E45" t="str">
        <f>"2.35"</f>
        <v>2.35</v>
      </c>
      <c r="F45" t="str">
        <f>"***"</f>
        <v>***</v>
      </c>
    </row>
    <row r="46" spans="1:6" x14ac:dyDescent="0.25">
      <c r="A46" t="str">
        <f>"45"</f>
        <v>45</v>
      </c>
      <c r="B46" t="str">
        <f>"Church/House of Worship"</f>
        <v>Church/House of Worship</v>
      </c>
      <c r="C46" t="str">
        <f>"2.53"</f>
        <v>2.53</v>
      </c>
      <c r="D46" t="str">
        <f>"2.86"</f>
        <v>2.86</v>
      </c>
      <c r="E46" t="str">
        <f>"2.23"</f>
        <v>2.23</v>
      </c>
      <c r="F46" t="str">
        <f>"**"</f>
        <v>**</v>
      </c>
    </row>
    <row r="47" spans="1:6" x14ac:dyDescent="0.25">
      <c r="A47" t="str">
        <f>"46"</f>
        <v>46</v>
      </c>
      <c r="B47" t="str">
        <f>"LinkedIn"</f>
        <v>LinkedIn</v>
      </c>
      <c r="C47" t="str">
        <f>"2.35"</f>
        <v>2.35</v>
      </c>
      <c r="D47" t="str">
        <f>"2.61"</f>
        <v>2.61</v>
      </c>
      <c r="E47" t="str">
        <f>"2.12"</f>
        <v>2.12</v>
      </c>
      <c r="F47" t="str">
        <f>"*"</f>
        <v>*</v>
      </c>
    </row>
    <row r="48" spans="1:6" x14ac:dyDescent="0.25">
      <c r="A48" t="str">
        <f>"47"</f>
        <v>47</v>
      </c>
      <c r="B48" t="str">
        <f>"Doctor’s Office"</f>
        <v>Doctor’s Office</v>
      </c>
      <c r="C48" t="str">
        <f>"2.34"</f>
        <v>2.34</v>
      </c>
      <c r="D48" t="str">
        <f>"2.70"</f>
        <v>2.70</v>
      </c>
      <c r="E48" t="str">
        <f>"2.01"</f>
        <v>2.01</v>
      </c>
      <c r="F48" t="str">
        <f>"***"</f>
        <v>***</v>
      </c>
    </row>
    <row r="49" spans="1:6" x14ac:dyDescent="0.25">
      <c r="A49" t="str">
        <f>"48"</f>
        <v>48</v>
      </c>
      <c r="B49" t="str">
        <f>"Funeral"</f>
        <v>Funeral</v>
      </c>
      <c r="C49" t="str">
        <f>"1.87"</f>
        <v>1.87</v>
      </c>
      <c r="D49" t="str">
        <f>"2.15"</f>
        <v>2.15</v>
      </c>
      <c r="E49" t="str">
        <f>"1.61"</f>
        <v>1.61</v>
      </c>
      <c r="F49" t="str">
        <f>"**"</f>
        <v>**</v>
      </c>
    </row>
  </sheetData>
  <sortState ref="A1:F49">
    <sortCondition descending="1" ref="E1:E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2025-03-12T00:02:33Z</dcterms:created>
  <dcterms:modified xsi:type="dcterms:W3CDTF">2025-03-12T01:52:49Z</dcterms:modified>
</cp:coreProperties>
</file>